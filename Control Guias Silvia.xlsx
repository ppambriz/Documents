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BRIZ\Desktop\Proyectos\Capacitaciones\Documents\"/>
    </mc:Choice>
  </mc:AlternateContent>
  <xr:revisionPtr revIDLastSave="0" documentId="13_ncr:1_{51815C41-70FD-4CAD-8B00-E1286EBCA047}" xr6:coauthVersionLast="47" xr6:coauthVersionMax="47" xr10:uidLastSave="{00000000-0000-0000-0000-000000000000}"/>
  <bookViews>
    <workbookView xWindow="-108" yWindow="-108" windowWidth="23256" windowHeight="13896" xr2:uid="{28D40DE8-55EE-4A45-8730-C507FE790F49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 l="1"/>
  <c r="K26" i="2" s="1"/>
</calcChain>
</file>

<file path=xl/sharedStrings.xml><?xml version="1.0" encoding="utf-8"?>
<sst xmlns="http://schemas.openxmlformats.org/spreadsheetml/2006/main" count="111" uniqueCount="45">
  <si>
    <t>YADIRA ANDRADE HERRERA</t>
  </si>
  <si>
    <t>Ana Cristina Perez Flores</t>
  </si>
  <si>
    <t>ESTAFETA TERRESTRE CON RECOLECCION</t>
  </si>
  <si>
    <t>transito</t>
  </si>
  <si>
    <t>Alma Rosa Meza Valdes</t>
  </si>
  <si>
    <t>ESTAFETA TERRESTRE SIN RECOLECCION1</t>
  </si>
  <si>
    <t>Alberto Alonso Figueroa</t>
  </si>
  <si>
    <t>Maria del Rosario Zalazar</t>
  </si>
  <si>
    <t>Dalila Minerva Rojas Gutierrez</t>
  </si>
  <si>
    <t>Entregado</t>
  </si>
  <si>
    <t>Tomas Aguirre Ramos</t>
  </si>
  <si>
    <t>En proceso de entrega a domicilio - 2026-09-24 10:34:00</t>
  </si>
  <si>
    <t>Socorro Lopez</t>
  </si>
  <si>
    <t>Centro de Int. SLP En ruta foránea hacia DGO - Durango - 2026-09-23 16:24:00</t>
  </si>
  <si>
    <t>Centro de Int. SLP En ruta foránea hacia DGO - Durango - 2026-09-23 15:39:00</t>
  </si>
  <si>
    <t>Brenda Torres</t>
  </si>
  <si>
    <t>Erika Altamira Torres</t>
  </si>
  <si>
    <t>Cristal Olvera Resendes</t>
  </si>
  <si>
    <t>Brenda Torrez</t>
  </si>
  <si>
    <t>Moises Munoz Martinez</t>
  </si>
  <si>
    <t>Sofia Perez</t>
  </si>
  <si>
    <t>Paula Patricia Ruiz</t>
  </si>
  <si>
    <t>Jarikza N. Vargas Gonzalez</t>
  </si>
  <si>
    <t>Luz Del Carmen Magallanes</t>
  </si>
  <si>
    <t>ID</t>
  </si>
  <si>
    <t>REMITENTE</t>
  </si>
  <si>
    <t>DESTINATARIO</t>
  </si>
  <si>
    <t>PAQUETERIA</t>
  </si>
  <si>
    <t>FECHA</t>
  </si>
  <si>
    <t>GUIA\</t>
  </si>
  <si>
    <t>COSTO</t>
  </si>
  <si>
    <t>PRECIO</t>
  </si>
  <si>
    <t>Columna1</t>
  </si>
  <si>
    <t>SALDO</t>
  </si>
  <si>
    <t>RESTO</t>
  </si>
  <si>
    <t>Cristopher Rios Cardenas</t>
  </si>
  <si>
    <t>2026-09-25 13:00:48.0</t>
  </si>
  <si>
    <t>2026-09-25 12:59:34.0</t>
  </si>
  <si>
    <t>6055898160612700749293</t>
  </si>
  <si>
    <t>8055898160612700749292</t>
  </si>
  <si>
    <t>Juan Ricardo Aguilar Delgado</t>
  </si>
  <si>
    <t>2026-09-30 11:03:44.0</t>
  </si>
  <si>
    <t>2026-09-30 11:03:06.0</t>
  </si>
  <si>
    <t>9055898160612700749508</t>
  </si>
  <si>
    <t>1055898160612700749507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</si>
</sst>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.25"/>
      <color rgb="FF525252"/>
      <name val="Poppinsregular"/>
    </font>
    <font>
      <b/>
      <sz val="7"/>
      <color rgb="FFFFFFFF"/>
      <name val="Poppinsregular"/>
    </font>
    <font>
      <b/>
      <sz val="7"/>
      <color rgb="FF525252"/>
      <name val="Poppinsregula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47" fontId="18" fillId="33" borderId="10" xfId="0" applyNumberFormat="1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9" fontId="0" fillId="0" borderId="0" xfId="0" applyNumberFormat="1"/>
    <xf numFmtId="49" fontId="18" fillId="33" borderId="11" xfId="0" applyNumberFormat="1" applyFont="1" applyFill="1" applyBorder="1" applyAlignment="1">
      <alignment horizontal="center" vertical="center" wrapText="1"/>
    </xf>
    <xf numFmtId="47" fontId="18" fillId="33" borderId="11" xfId="0" applyNumberFormat="1" applyFont="1" applyFill="1" applyBorder="1" applyAlignment="1">
      <alignment horizontal="center" vertical="center" wrapText="1"/>
    </xf>
    <xf numFmtId="49" fontId="19" fillId="33" borderId="11" xfId="0" applyNumberFormat="1" applyFont="1" applyFill="1" applyBorder="1" applyAlignment="1">
      <alignment horizontal="center" vertical="center" wrapText="1"/>
    </xf>
    <xf numFmtId="44" fontId="20" fillId="33" borderId="10" xfId="42" applyFont="1" applyFill="1" applyBorder="1" applyAlignment="1">
      <alignment horizontal="center" vertical="center" wrapText="1"/>
    </xf>
    <xf numFmtId="44" fontId="0" fillId="33" borderId="0" xfId="42" applyFont="1" applyFill="1"/>
    <xf numFmtId="44" fontId="0" fillId="0" borderId="0" xfId="42" applyFont="1"/>
    <xf numFmtId="44" fontId="0" fillId="0" borderId="0" xfId="0" applyNumberFormat="1"/>
    <xf numFmtId="44" fontId="0" fillId="0" borderId="0" xfId="42" applyFont="1" applyAlignment="1">
      <alignment horizontal="right"/>
    </xf>
    <xf numFmtId="44" fontId="18" fillId="33" borderId="10" xfId="42" applyFont="1" applyFill="1" applyBorder="1" applyAlignment="1">
      <alignment horizontal="right" vertical="center" wrapText="1"/>
    </xf>
    <xf numFmtId="164" fontId="0" fillId="0" borderId="0" xfId="42" applyNumberFormat="1" applyFont="1" applyAlignment="1">
      <alignment horizontal="right"/>
    </xf>
    <xf numFmtId="44" fontId="18" fillId="33" borderId="11" xfId="0" applyNumberFormat="1" applyFont="1" applyFill="1" applyBorder="1" applyAlignment="1">
      <alignment horizontal="right" vertical="center" wrapText="1"/>
    </xf>
    <xf numFmtId="44" fontId="20" fillId="33" borderId="11" xfId="0" applyNumberFormat="1" applyFont="1" applyFill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FFFF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FFFF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525252"/>
        <name val="Poppinsregular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29" formatCode="mm:ss.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1D1"/>
        </left>
        <right style="medium">
          <color rgb="FFD1D1D1"/>
        </right>
        <top style="medium">
          <color rgb="FFD1D1D1"/>
        </top>
        <bottom/>
      </border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525252"/>
        <name val="Poppinsregular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numFmt numFmtId="29" formatCode="mm:ss.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rgb="FF525252"/>
        <name val="Poppinsregular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1D1"/>
        </left>
        <right style="medium">
          <color rgb="FFD1D1D1"/>
        </right>
        <top style="medium">
          <color rgb="FFD1D1D1"/>
        </top>
        <bottom style="medium">
          <color rgb="FFD1D1D1"/>
        </bottom>
        <vertical/>
        <horizontal/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D4088-391A-4561-A356-EB3A167A3CB4}" name="Tabla1" displayName="Tabla1" ref="A1:K26" totalsRowCount="1" headerRowDxfId="22">
  <autoFilter ref="A1:K25" xr:uid="{490D4088-391A-4561-A356-EB3A167A3CB4}">
    <filterColumn colId="2">
      <filters>
        <filter val="Alberto Alonso Figueroa"/>
        <filter val="Alma Rosa Meza Valdes"/>
        <filter val="Ana Cristina Perez Flores"/>
        <filter val="Brenda Torres"/>
        <filter val="Brenda Torrez"/>
        <filter val="Cristal Olvera Resendes"/>
        <filter val="Erika Altamira Torres"/>
        <filter val="Jarikza N. Vargas Gonzalez"/>
        <filter val="Luz Del Carmen Magallanes"/>
        <filter val="Maria del Rosario Zalazar"/>
        <filter val="Moises Munoz Martinez"/>
        <filter val="Paula Patricia Ruiz"/>
        <filter val="Socorro Lopez"/>
        <filter val="Sofia Perez"/>
        <filter val="Tomas Aguirre Ramos"/>
      </filters>
    </filterColumn>
  </autoFilter>
  <tableColumns count="11">
    <tableColumn id="1" xr3:uid="{4B063840-E3E0-424F-895C-FE9BEF01A625}" name="ID" dataDxfId="21" totalsRowDxfId="11"/>
    <tableColumn id="2" xr3:uid="{AF0F79CD-D3FD-459E-975B-73126EC45FBF}" name="REMITENTE" dataDxfId="20" totalsRowDxfId="10"/>
    <tableColumn id="3" xr3:uid="{C3021A36-4783-4A00-B0D1-6D03B6593DFB}" name="DESTINATARIO" dataDxfId="19" totalsRowDxfId="9"/>
    <tableColumn id="4" xr3:uid="{D9C6EAF9-70E7-4707-806A-CE080DF20389}" name="PAQUETERIA" dataDxfId="18" totalsRowDxfId="8"/>
    <tableColumn id="5" xr3:uid="{6610E46E-6520-4A33-B1D8-FEA7DAEC3BC5}" name="FECHA" dataDxfId="17" totalsRowDxfId="7"/>
    <tableColumn id="6" xr3:uid="{E3F30373-116B-4AED-9C5A-E915D0CA490A}" name="GUIA\" dataDxfId="16" totalsRowDxfId="6"/>
    <tableColumn id="7" xr3:uid="{A8BCC94E-A2E1-4681-BCB0-2660B2337655}" name="Columna1" dataDxfId="0" totalsRowDxfId="1"/>
    <tableColumn id="8" xr3:uid="{CF67D91C-74D6-40D6-BF1E-CA5ED94ED0EE}" name="COSTO" dataDxfId="15" totalsRowDxfId="3"/>
    <tableColumn id="9" xr3:uid="{CD5147F2-4A45-429E-B161-2095B3278722}" name="PRECIO" totalsRowFunction="custom" dataDxfId="14" totalsRowDxfId="2">
      <calculatedColumnFormula>Tabla1[[#This Row],[COSTO]]+50</calculatedColumnFormula>
      <totalsRowFormula>SUBTOTAL(9,I2:I25)</totalsRowFormula>
    </tableColumn>
    <tableColumn id="10" xr3:uid="{A225C977-ACF0-40F2-8505-790183442B8A}" name="SALDO" totalsRowFunction="custom" dataDxfId="13" totalsRowDxfId="5">
      <totalsRowFormula>SUBTOTAL(9,J2:J25)</totalsRowFormula>
    </tableColumn>
    <tableColumn id="11" xr3:uid="{FD3FBAD4-BE3D-4E04-82AF-D6DAF9FBBD62}" name="RESTO" totalsRowFunction="custom" dataDxfId="12" totalsRowDxfId="4">
      <totalsRowFormula>Tabla1[[#Totals],[SALDO]]-Tabla1[[#Totals],[PRECIO]]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7B97-BC33-4D79-8675-A33F022C66EB}">
  <dimension ref="A1:K26"/>
  <sheetViews>
    <sheetView tabSelected="1" topLeftCell="B4" workbookViewId="0">
      <selection activeCell="H3" sqref="H3"/>
    </sheetView>
  </sheetViews>
  <sheetFormatPr baseColWidth="10" defaultRowHeight="14.4"/>
  <cols>
    <col min="1" max="1" width="11.5546875" style="5" hidden="1" customWidth="1"/>
    <col min="2" max="2" width="23.77734375" style="5" bestFit="1" customWidth="1"/>
    <col min="3" max="3" width="24.21875" style="5" bestFit="1" customWidth="1"/>
    <col min="4" max="4" width="36" style="5" bestFit="1" customWidth="1"/>
    <col min="5" max="5" width="19.44140625" style="5" bestFit="1" customWidth="1"/>
    <col min="6" max="6" width="23.21875" style="5" bestFit="1" customWidth="1"/>
    <col min="7" max="7" width="11.77734375" style="5" customWidth="1"/>
    <col min="8" max="8" width="11.5546875" style="13" customWidth="1"/>
    <col min="9" max="9" width="11.5546875" style="11"/>
    <col min="10" max="16384" width="11.5546875" style="5"/>
  </cols>
  <sheetData>
    <row r="1" spans="1:1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32</v>
      </c>
      <c r="H1" s="13" t="s">
        <v>30</v>
      </c>
      <c r="I1" s="11" t="s">
        <v>31</v>
      </c>
      <c r="J1" s="5" t="s">
        <v>33</v>
      </c>
      <c r="K1" s="5" t="s">
        <v>34</v>
      </c>
    </row>
    <row r="2" spans="1:11">
      <c r="B2" s="5" t="s">
        <v>0</v>
      </c>
      <c r="C2" s="5" t="s">
        <v>40</v>
      </c>
      <c r="D2" s="5" t="s">
        <v>2</v>
      </c>
      <c r="E2" s="5" t="s">
        <v>41</v>
      </c>
      <c r="F2" s="5" t="s">
        <v>43</v>
      </c>
      <c r="H2" s="13">
        <v>271</v>
      </c>
      <c r="I2" s="11">
        <f>Tabla1[[#This Row],[COSTO]]+50</f>
        <v>321</v>
      </c>
    </row>
    <row r="3" spans="1:11">
      <c r="B3" s="5" t="s">
        <v>0</v>
      </c>
      <c r="C3" s="5" t="s">
        <v>40</v>
      </c>
      <c r="D3" s="5" t="s">
        <v>2</v>
      </c>
      <c r="E3" s="5" t="s">
        <v>42</v>
      </c>
      <c r="F3" s="5" t="s">
        <v>44</v>
      </c>
      <c r="H3" s="13">
        <v>271</v>
      </c>
      <c r="I3" s="11">
        <f>Tabla1[[#This Row],[COSTO]]+50</f>
        <v>321</v>
      </c>
    </row>
    <row r="4" spans="1:11">
      <c r="B4" s="5" t="s">
        <v>0</v>
      </c>
      <c r="C4" s="5" t="s">
        <v>35</v>
      </c>
      <c r="D4" s="5" t="s">
        <v>2</v>
      </c>
      <c r="E4" s="5" t="s">
        <v>36</v>
      </c>
      <c r="F4" s="5" t="s">
        <v>38</v>
      </c>
      <c r="H4" s="15">
        <v>271</v>
      </c>
      <c r="I4" s="11">
        <f>Tabla1[[#This Row],[COSTO]]+50</f>
        <v>321</v>
      </c>
    </row>
    <row r="5" spans="1:11" ht="15" thickBot="1">
      <c r="B5" s="5" t="s">
        <v>0</v>
      </c>
      <c r="C5" s="5" t="s">
        <v>35</v>
      </c>
      <c r="D5" s="5" t="s">
        <v>2</v>
      </c>
      <c r="E5" s="5" t="s">
        <v>37</v>
      </c>
      <c r="F5" s="5" t="s">
        <v>39</v>
      </c>
      <c r="H5" s="15">
        <v>231</v>
      </c>
      <c r="I5" s="11">
        <f>Tabla1[[#This Row],[COSTO]]+50</f>
        <v>281</v>
      </c>
    </row>
    <row r="6" spans="1:11" ht="15" thickBot="1">
      <c r="A6" s="1">
        <v>2318020</v>
      </c>
      <c r="B6" s="1" t="s">
        <v>0</v>
      </c>
      <c r="C6" s="1" t="s">
        <v>1</v>
      </c>
      <c r="D6" s="1" t="s">
        <v>2</v>
      </c>
      <c r="E6" s="2">
        <v>46289.487349537034</v>
      </c>
      <c r="F6" s="1">
        <v>5.0558981606126995E+21</v>
      </c>
      <c r="G6" s="3" t="s">
        <v>3</v>
      </c>
      <c r="H6" s="14">
        <v>167</v>
      </c>
      <c r="I6" s="9">
        <f>Tabla1[[#This Row],[COSTO]]+50</f>
        <v>217</v>
      </c>
      <c r="J6" s="11">
        <v>318</v>
      </c>
      <c r="K6" s="11"/>
    </row>
    <row r="7" spans="1:11" ht="15" thickBot="1">
      <c r="A7" s="1">
        <v>2317843</v>
      </c>
      <c r="B7" s="1" t="s">
        <v>0</v>
      </c>
      <c r="C7" s="1" t="s">
        <v>4</v>
      </c>
      <c r="D7" s="1" t="s">
        <v>5</v>
      </c>
      <c r="E7" s="2">
        <v>46289.440324074072</v>
      </c>
      <c r="F7" s="1">
        <v>4.0559097447817198E+21</v>
      </c>
      <c r="G7" s="3" t="s">
        <v>3</v>
      </c>
      <c r="H7" s="14">
        <v>155</v>
      </c>
      <c r="I7" s="9">
        <f>Tabla1[[#This Row],[COSTO]]+50</f>
        <v>205</v>
      </c>
      <c r="J7" s="11">
        <v>5000</v>
      </c>
      <c r="K7" s="11"/>
    </row>
    <row r="8" spans="1:11" ht="15" thickBot="1">
      <c r="A8" s="1">
        <v>2316890</v>
      </c>
      <c r="B8" s="1" t="s">
        <v>0</v>
      </c>
      <c r="C8" s="1" t="s">
        <v>6</v>
      </c>
      <c r="D8" s="1" t="s">
        <v>5</v>
      </c>
      <c r="E8" s="2">
        <v>46288.584930555553</v>
      </c>
      <c r="F8" s="1">
        <v>3.0559097447817198E+21</v>
      </c>
      <c r="G8" s="3" t="s">
        <v>3</v>
      </c>
      <c r="H8" s="14">
        <v>155</v>
      </c>
      <c r="I8" s="9">
        <f>Tabla1[[#This Row],[COSTO]]+50</f>
        <v>205</v>
      </c>
      <c r="J8" s="11"/>
      <c r="K8" s="11"/>
    </row>
    <row r="9" spans="1:11" ht="15" thickBot="1">
      <c r="A9" s="1">
        <v>2316880</v>
      </c>
      <c r="B9" s="1" t="s">
        <v>0</v>
      </c>
      <c r="C9" s="1" t="s">
        <v>7</v>
      </c>
      <c r="D9" s="1" t="s">
        <v>5</v>
      </c>
      <c r="E9" s="2">
        <v>46288.58326388889</v>
      </c>
      <c r="F9" s="1">
        <v>9.0559097447817203E+21</v>
      </c>
      <c r="G9" s="3" t="s">
        <v>3</v>
      </c>
      <c r="H9" s="14">
        <v>155</v>
      </c>
      <c r="I9" s="9">
        <f>Tabla1[[#This Row],[COSTO]]+50</f>
        <v>205</v>
      </c>
      <c r="J9" s="11"/>
      <c r="K9" s="11"/>
    </row>
    <row r="10" spans="1:11" ht="22.2" hidden="1" thickBot="1">
      <c r="A10" s="1">
        <v>2314309</v>
      </c>
      <c r="B10" s="1" t="s">
        <v>0</v>
      </c>
      <c r="C10" s="1" t="s">
        <v>8</v>
      </c>
      <c r="D10" s="1" t="s">
        <v>2</v>
      </c>
      <c r="E10" s="2">
        <v>46287.342395833337</v>
      </c>
      <c r="F10" s="1">
        <v>2.0558981606127001E+21</v>
      </c>
      <c r="G10" s="3" t="s">
        <v>9</v>
      </c>
      <c r="H10" s="1">
        <v>271</v>
      </c>
      <c r="I10" s="4">
        <f>Tabla1[[#This Row],[COSTO]]+50</f>
        <v>321</v>
      </c>
    </row>
    <row r="11" spans="1:11" ht="39" thickBot="1">
      <c r="A11" s="1">
        <v>2313907</v>
      </c>
      <c r="B11" s="1" t="s">
        <v>0</v>
      </c>
      <c r="C11" s="1" t="s">
        <v>10</v>
      </c>
      <c r="D11" s="1" t="s">
        <v>2</v>
      </c>
      <c r="E11" s="2">
        <v>46286.680763888886</v>
      </c>
      <c r="F11" s="1">
        <v>3.0558981606127001E+21</v>
      </c>
      <c r="G11" s="3" t="s">
        <v>11</v>
      </c>
      <c r="H11" s="14">
        <v>164</v>
      </c>
      <c r="I11" s="9">
        <f>Tabla1[[#This Row],[COSTO]]+50</f>
        <v>214</v>
      </c>
      <c r="J11" s="11"/>
      <c r="K11" s="11"/>
    </row>
    <row r="12" spans="1:11" ht="58.2" thickBot="1">
      <c r="A12" s="1">
        <v>2312903</v>
      </c>
      <c r="B12" s="1" t="s">
        <v>0</v>
      </c>
      <c r="C12" s="1" t="s">
        <v>12</v>
      </c>
      <c r="D12" s="1" t="s">
        <v>2</v>
      </c>
      <c r="E12" s="2">
        <v>46286.505462962959</v>
      </c>
      <c r="F12" s="1">
        <v>5.5898160612700701E+19</v>
      </c>
      <c r="G12" s="3" t="s">
        <v>13</v>
      </c>
      <c r="H12" s="14">
        <v>310</v>
      </c>
      <c r="I12" s="9">
        <f>Tabla1[[#This Row],[COSTO]]+50</f>
        <v>360</v>
      </c>
      <c r="J12" s="11"/>
      <c r="K12" s="11"/>
    </row>
    <row r="13" spans="1:11" ht="58.2" thickBot="1">
      <c r="A13" s="1">
        <v>2312796</v>
      </c>
      <c r="B13" s="1" t="s">
        <v>0</v>
      </c>
      <c r="C13" s="1" t="s">
        <v>6</v>
      </c>
      <c r="D13" s="1" t="s">
        <v>5</v>
      </c>
      <c r="E13" s="2">
        <v>46286.48704861111</v>
      </c>
      <c r="F13" s="1">
        <v>3.0559097447817198E+21</v>
      </c>
      <c r="G13" s="3" t="s">
        <v>14</v>
      </c>
      <c r="H13" s="14">
        <v>155</v>
      </c>
      <c r="I13" s="9">
        <f>Tabla1[[#This Row],[COSTO]]+50</f>
        <v>205</v>
      </c>
      <c r="J13" s="11"/>
      <c r="K13" s="11"/>
    </row>
    <row r="14" spans="1:11" ht="15" thickBot="1">
      <c r="A14" s="1">
        <v>2309136</v>
      </c>
      <c r="B14" s="1" t="s">
        <v>0</v>
      </c>
      <c r="C14" s="1" t="s">
        <v>15</v>
      </c>
      <c r="D14" s="1" t="s">
        <v>2</v>
      </c>
      <c r="E14" s="2">
        <v>46282.538715277777</v>
      </c>
      <c r="F14" s="1">
        <v>5.0558981606126995E+21</v>
      </c>
      <c r="G14" s="3" t="s">
        <v>9</v>
      </c>
      <c r="H14" s="14">
        <v>190</v>
      </c>
      <c r="I14" s="9">
        <f>Tabla1[[#This Row],[COSTO]]+50</f>
        <v>240</v>
      </c>
      <c r="J14" s="11"/>
      <c r="K14" s="11"/>
    </row>
    <row r="15" spans="1:11" ht="15" thickBot="1">
      <c r="A15" s="1">
        <v>2308942</v>
      </c>
      <c r="B15" s="1" t="s">
        <v>0</v>
      </c>
      <c r="C15" s="1" t="s">
        <v>16</v>
      </c>
      <c r="D15" s="1" t="s">
        <v>2</v>
      </c>
      <c r="E15" s="2">
        <v>46282.501782407409</v>
      </c>
      <c r="F15" s="1">
        <v>6.0558981606126995E+21</v>
      </c>
      <c r="G15" s="3" t="s">
        <v>9</v>
      </c>
      <c r="H15" s="14">
        <v>229</v>
      </c>
      <c r="I15" s="9">
        <f>Tabla1[[#This Row],[COSTO]]+50</f>
        <v>279</v>
      </c>
      <c r="J15" s="11"/>
      <c r="K15" s="11"/>
    </row>
    <row r="16" spans="1:11" ht="15" thickBot="1">
      <c r="A16" s="1">
        <v>2308752</v>
      </c>
      <c r="B16" s="1" t="s">
        <v>0</v>
      </c>
      <c r="C16" s="1" t="s">
        <v>17</v>
      </c>
      <c r="D16" s="1" t="s">
        <v>2</v>
      </c>
      <c r="E16" s="2">
        <v>46282.467881944445</v>
      </c>
      <c r="F16" s="1">
        <v>9.0558981606126995E+21</v>
      </c>
      <c r="G16" s="3" t="s">
        <v>9</v>
      </c>
      <c r="H16" s="14">
        <v>179</v>
      </c>
      <c r="I16" s="9">
        <f>Tabla1[[#This Row],[COSTO]]+50</f>
        <v>229</v>
      </c>
      <c r="J16" s="11"/>
      <c r="K16" s="11"/>
    </row>
    <row r="17" spans="1:11" ht="15" thickBot="1">
      <c r="A17" s="1">
        <v>2308664</v>
      </c>
      <c r="B17" s="1" t="s">
        <v>0</v>
      </c>
      <c r="C17" s="1" t="s">
        <v>18</v>
      </c>
      <c r="D17" s="1" t="s">
        <v>2</v>
      </c>
      <c r="E17" s="2">
        <v>46282.450474537036</v>
      </c>
      <c r="F17" s="1">
        <v>1.0558981606127001E+21</v>
      </c>
      <c r="G17" s="3" t="s">
        <v>3</v>
      </c>
      <c r="H17" s="14">
        <v>229</v>
      </c>
      <c r="I17" s="9">
        <f>Tabla1[[#This Row],[COSTO]]+50</f>
        <v>279</v>
      </c>
      <c r="J17" s="11"/>
      <c r="K17" s="11"/>
    </row>
    <row r="18" spans="1:11" ht="15" thickBot="1">
      <c r="A18" s="1">
        <v>2307450</v>
      </c>
      <c r="B18" s="1" t="s">
        <v>0</v>
      </c>
      <c r="C18" s="1" t="s">
        <v>19</v>
      </c>
      <c r="D18" s="1" t="s">
        <v>2</v>
      </c>
      <c r="E18" s="2">
        <v>46280.594768518517</v>
      </c>
      <c r="F18" s="1">
        <v>8.0558981606126995E+21</v>
      </c>
      <c r="G18" s="3" t="s">
        <v>9</v>
      </c>
      <c r="H18" s="14">
        <v>271</v>
      </c>
      <c r="I18" s="9">
        <f>Tabla1[[#This Row],[COSTO]]+50</f>
        <v>321</v>
      </c>
      <c r="J18" s="11"/>
      <c r="K18" s="11"/>
    </row>
    <row r="19" spans="1:11" ht="15" thickBot="1">
      <c r="A19" s="1">
        <v>2307446</v>
      </c>
      <c r="B19" s="1" t="s">
        <v>0</v>
      </c>
      <c r="C19" s="1" t="s">
        <v>20</v>
      </c>
      <c r="D19" s="1" t="s">
        <v>2</v>
      </c>
      <c r="E19" s="2">
        <v>46280.593831018516</v>
      </c>
      <c r="F19" s="1">
        <v>5.5898160612700701E+19</v>
      </c>
      <c r="G19" s="3" t="s">
        <v>9</v>
      </c>
      <c r="H19" s="14">
        <v>302</v>
      </c>
      <c r="I19" s="9">
        <f>Tabla1[[#This Row],[COSTO]]+50</f>
        <v>352</v>
      </c>
      <c r="J19" s="11"/>
      <c r="K19" s="11"/>
    </row>
    <row r="20" spans="1:11" ht="15" thickBot="1">
      <c r="A20" s="1">
        <v>2307438</v>
      </c>
      <c r="B20" s="1" t="s">
        <v>0</v>
      </c>
      <c r="C20" s="1" t="s">
        <v>20</v>
      </c>
      <c r="D20" s="1" t="s">
        <v>2</v>
      </c>
      <c r="E20" s="2">
        <v>46280.591377314813</v>
      </c>
      <c r="F20" s="1">
        <v>4.0558981606127001E+21</v>
      </c>
      <c r="G20" s="3" t="s">
        <v>9</v>
      </c>
      <c r="H20" s="14">
        <v>302</v>
      </c>
      <c r="I20" s="9">
        <f>Tabla1[[#This Row],[COSTO]]+50</f>
        <v>352</v>
      </c>
      <c r="J20" s="11"/>
      <c r="K20" s="11"/>
    </row>
    <row r="21" spans="1:11" ht="15" thickBot="1">
      <c r="A21" s="1">
        <v>2304456</v>
      </c>
      <c r="B21" s="1" t="s">
        <v>0</v>
      </c>
      <c r="C21" s="1" t="s">
        <v>21</v>
      </c>
      <c r="D21" s="1" t="s">
        <v>2</v>
      </c>
      <c r="E21" s="2">
        <v>46279.455949074072</v>
      </c>
      <c r="F21" s="1">
        <v>3.0558981606127001E+21</v>
      </c>
      <c r="G21" s="3" t="s">
        <v>9</v>
      </c>
      <c r="H21" s="14">
        <v>179</v>
      </c>
      <c r="I21" s="9">
        <f>Tabla1[[#This Row],[COSTO]]+50</f>
        <v>229</v>
      </c>
      <c r="J21" s="11"/>
      <c r="K21" s="11"/>
    </row>
    <row r="22" spans="1:11" ht="15" thickBot="1">
      <c r="A22" s="1">
        <v>2304430</v>
      </c>
      <c r="B22" s="1" t="s">
        <v>0</v>
      </c>
      <c r="C22" s="1" t="s">
        <v>22</v>
      </c>
      <c r="D22" s="1" t="s">
        <v>2</v>
      </c>
      <c r="E22" s="2">
        <v>46279.4528125</v>
      </c>
      <c r="F22" s="1">
        <v>9.0558981606126995E+21</v>
      </c>
      <c r="G22" s="3" t="s">
        <v>3</v>
      </c>
      <c r="H22" s="14">
        <v>414</v>
      </c>
      <c r="I22" s="9">
        <f>Tabla1[[#This Row],[COSTO]]+50</f>
        <v>464</v>
      </c>
      <c r="J22" s="11"/>
      <c r="K22" s="11"/>
    </row>
    <row r="23" spans="1:11" ht="22.2" hidden="1" thickBot="1">
      <c r="A23" s="1">
        <v>2303299</v>
      </c>
      <c r="B23" s="1" t="s">
        <v>0</v>
      </c>
      <c r="C23" s="1" t="s">
        <v>8</v>
      </c>
      <c r="D23" s="1" t="s">
        <v>2</v>
      </c>
      <c r="E23" s="2">
        <v>46277.375405092593</v>
      </c>
      <c r="F23" s="1">
        <v>8.0558981606126995E+21</v>
      </c>
      <c r="G23" s="3" t="s">
        <v>9</v>
      </c>
      <c r="H23" s="1">
        <v>271</v>
      </c>
      <c r="I23" s="4">
        <f>Tabla1[[#This Row],[COSTO]]+50</f>
        <v>321</v>
      </c>
    </row>
    <row r="24" spans="1:11" ht="15" thickBot="1">
      <c r="A24" s="1">
        <v>2302573</v>
      </c>
      <c r="B24" s="1" t="s">
        <v>0</v>
      </c>
      <c r="C24" s="1" t="s">
        <v>23</v>
      </c>
      <c r="D24" s="1" t="s">
        <v>2</v>
      </c>
      <c r="E24" s="2">
        <v>46276.538518518515</v>
      </c>
      <c r="F24" s="1">
        <v>3.0558981606127001E+21</v>
      </c>
      <c r="G24" s="3" t="s">
        <v>9</v>
      </c>
      <c r="H24" s="14">
        <v>302</v>
      </c>
      <c r="I24" s="9">
        <f>Tabla1[[#This Row],[COSTO]]+50</f>
        <v>352</v>
      </c>
      <c r="J24" s="11"/>
      <c r="K24" s="11"/>
    </row>
    <row r="25" spans="1:11" ht="15" thickBot="1">
      <c r="A25" s="1">
        <v>2302572</v>
      </c>
      <c r="B25" s="1" t="s">
        <v>0</v>
      </c>
      <c r="C25" s="1" t="s">
        <v>23</v>
      </c>
      <c r="D25" s="1" t="s">
        <v>2</v>
      </c>
      <c r="E25" s="2">
        <v>46276.53769675926</v>
      </c>
      <c r="F25" s="1">
        <v>5.0558981606126995E+21</v>
      </c>
      <c r="G25" s="3" t="s">
        <v>9</v>
      </c>
      <c r="H25" s="14">
        <v>302</v>
      </c>
      <c r="I25" s="10">
        <f>Tabla1[[#This Row],[COSTO]]+50</f>
        <v>352</v>
      </c>
      <c r="J25" s="11"/>
      <c r="K25" s="11"/>
    </row>
    <row r="26" spans="1:11">
      <c r="A26" s="6"/>
      <c r="B26" s="6"/>
      <c r="C26" s="6"/>
      <c r="D26" s="6"/>
      <c r="E26" s="7"/>
      <c r="F26" s="6"/>
      <c r="G26" s="8"/>
      <c r="H26" s="16"/>
      <c r="I26" s="17">
        <f>SUBTOTAL(9,I2:I25)</f>
        <v>6304</v>
      </c>
      <c r="J26" s="12">
        <f>SUBTOTAL(9,J2:J25)</f>
        <v>5318</v>
      </c>
      <c r="K26" s="12">
        <f>Tabla1[[#Totals],[SALDO]]-Tabla1[[#Totals],[PRECIO]]</f>
        <v>-986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Ambriz Hernández</dc:creator>
  <cp:lastModifiedBy>José Antonio Ambriz Hernández</cp:lastModifiedBy>
  <dcterms:created xsi:type="dcterms:W3CDTF">2026-09-24T16:17:49Z</dcterms:created>
  <dcterms:modified xsi:type="dcterms:W3CDTF">2026-09-30T18:08:49Z</dcterms:modified>
</cp:coreProperties>
</file>